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cbcf2196597113/Documents/"/>
    </mc:Choice>
  </mc:AlternateContent>
  <xr:revisionPtr revIDLastSave="15" documentId="8_{C2C428BA-2BBE-4B54-895B-15B741EB9608}" xr6:coauthVersionLast="47" xr6:coauthVersionMax="47" xr10:uidLastSave="{FEE0E3F3-A7D3-40C9-AC22-AE0EA0A9AD59}"/>
  <bookViews>
    <workbookView xWindow="-108" yWindow="-108" windowWidth="23256" windowHeight="13176" firstSheet="2" activeTab="4" xr2:uid="{7EF35FE8-BC71-4109-B368-E4A5EAC85B9F}"/>
  </bookViews>
  <sheets>
    <sheet name="Student dataset" sheetId="1" r:id="rId1"/>
    <sheet name="Class-wise performance analysis" sheetId="2" r:id="rId2"/>
    <sheet name="Gender-wise perfomance analysis" sheetId="3" r:id="rId3"/>
    <sheet name="Factor affecting performance" sheetId="4" r:id="rId4"/>
    <sheet name="Conclusion &amp; Recommedations" sheetId="6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J3" i="1"/>
  <c r="L3" i="1"/>
  <c r="L2" i="1"/>
  <c r="L1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</calcChain>
</file>

<file path=xl/sharedStrings.xml><?xml version="1.0" encoding="utf-8"?>
<sst xmlns="http://schemas.openxmlformats.org/spreadsheetml/2006/main" count="119" uniqueCount="73">
  <si>
    <t>Student_ID</t>
  </si>
  <si>
    <t>Student_Name</t>
  </si>
  <si>
    <t>Class</t>
  </si>
  <si>
    <t>Gender</t>
  </si>
  <si>
    <t>Attendance_Percent</t>
  </si>
  <si>
    <t>Study_Hours_Per_Day</t>
  </si>
  <si>
    <t>Math_Marks</t>
  </si>
  <si>
    <t>Science_Marks</t>
  </si>
  <si>
    <t>English_Marks</t>
  </si>
  <si>
    <t>S001</t>
  </si>
  <si>
    <t>Rahul</t>
  </si>
  <si>
    <t>A</t>
  </si>
  <si>
    <t>Male</t>
  </si>
  <si>
    <t>S002</t>
  </si>
  <si>
    <t>Priya</t>
  </si>
  <si>
    <t>Female</t>
  </si>
  <si>
    <t>S003</t>
  </si>
  <si>
    <t>Amit</t>
  </si>
  <si>
    <t>S004</t>
  </si>
  <si>
    <t>Neha</t>
  </si>
  <si>
    <t>S005</t>
  </si>
  <si>
    <t>Arjun</t>
  </si>
  <si>
    <t>B</t>
  </si>
  <si>
    <t>S006</t>
  </si>
  <si>
    <t>Kavya</t>
  </si>
  <si>
    <t>S007</t>
  </si>
  <si>
    <t>Rohit</t>
  </si>
  <si>
    <t>S008</t>
  </si>
  <si>
    <t>Anjali</t>
  </si>
  <si>
    <t>S009</t>
  </si>
  <si>
    <t>Vivek</t>
  </si>
  <si>
    <t>C</t>
  </si>
  <si>
    <t>S010</t>
  </si>
  <si>
    <t>Pooja</t>
  </si>
  <si>
    <t>S011</t>
  </si>
  <si>
    <t>Deepak</t>
  </si>
  <si>
    <t>S012</t>
  </si>
  <si>
    <t>Sneha</t>
  </si>
  <si>
    <t>S013</t>
  </si>
  <si>
    <t>Manish</t>
  </si>
  <si>
    <t>S014</t>
  </si>
  <si>
    <t>Riya</t>
  </si>
  <si>
    <t>S015</t>
  </si>
  <si>
    <t>Karan</t>
  </si>
  <si>
    <t>S016</t>
  </si>
  <si>
    <t>Simran</t>
  </si>
  <si>
    <t>S017</t>
  </si>
  <si>
    <t>Akash</t>
  </si>
  <si>
    <t>S018</t>
  </si>
  <si>
    <t>Nidhi</t>
  </si>
  <si>
    <t>S019</t>
  </si>
  <si>
    <t>Varun</t>
  </si>
  <si>
    <t>S020</t>
  </si>
  <si>
    <t>Meera</t>
  </si>
  <si>
    <t>AVERAGE_MARKS</t>
  </si>
  <si>
    <t>Math average</t>
  </si>
  <si>
    <t>Science average</t>
  </si>
  <si>
    <t>English average</t>
  </si>
  <si>
    <t>Row Labels</t>
  </si>
  <si>
    <t>Grand Total</t>
  </si>
  <si>
    <t>Average of AVERAGE_MARKS</t>
  </si>
  <si>
    <t>STUDENT PERFORMANCE ANALYSIS</t>
  </si>
  <si>
    <t>PROJECT CONCLUSION</t>
  </si>
  <si>
    <t>KEY FINDING</t>
  </si>
  <si>
    <t>1. Class B achieved the highest average performance among all classes.</t>
  </si>
  <si>
    <t>2. Female student scored higher average marks than male student</t>
  </si>
  <si>
    <t>3. Student with higher attemdance generally achieved better academic performance</t>
  </si>
  <si>
    <t>4. Student who studied more hours per day obtained higher average marks..</t>
  </si>
  <si>
    <t>5. overall student performance showed a positively relationship with attendance and study hours.</t>
  </si>
  <si>
    <t>Recommendation</t>
  </si>
  <si>
    <t>1. student should maintain regular attendance to improve academic result</t>
  </si>
  <si>
    <t>2. Student should follow a consistent daily study schedule</t>
  </si>
  <si>
    <t>3. teacher should provide additional support to low-performing students.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</si>
</sst>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Subject</a:t>
            </a:r>
            <a:r>
              <a:rPr lang="en-IN" baseline="0"/>
              <a:t> wise perfomance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'Student dataset'!$K$1:$K$3</c:f>
              <c:strCache>
                <c:ptCount val="3"/>
                <c:pt idx="0">
                  <c:v>Math average</c:v>
                </c:pt>
                <c:pt idx="1">
                  <c:v>Science average</c:v>
                </c:pt>
                <c:pt idx="2">
                  <c:v>English average</c:v>
                </c:pt>
              </c:strCache>
            </c:strRef>
          </c:cat>
          <c:val>
            <c:numRef>
              <c:f>'Student dataset'!$L$1:$L$3</c:f>
              <c:numCache>
                <c:formatCode>General</c:formatCode>
                <c:ptCount val="3"/>
                <c:pt idx="0">
                  <c:v>76</c:v>
                </c:pt>
                <c:pt idx="1">
                  <c:v>75.05</c:v>
                </c:pt>
                <c:pt idx="2">
                  <c:v>77.7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80-4EA8-BD0E-8B578EEF1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1726063"/>
        <c:axId val="1121727023"/>
      </c:barChart>
      <c:catAx>
        <c:axId val="112172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727023"/>
        <c:crosses val="autoZero"/>
        <c:auto val="1"/>
        <c:lblAlgn val="ctr"/>
        <c:lblOffset val="100"/>
        <c:noMultiLvlLbl val="0"/>
      </c:catAx>
      <c:valAx>
        <c:axId val="112172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726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[STUDENT_PERFORMANCE.CSV.xlsx]Class-wise performance analysis!PivotTable1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</a:t>
            </a:r>
            <a:r>
              <a:rPr lang="en-US" baseline="0"/>
              <a:t> wise average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213648293963254E-2"/>
          <c:y val="0.25865522018081066"/>
          <c:w val="0.78645603674540687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'Class-wise performance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'Class-wise performance analysis'!$A$4:$A$7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'Class-wise performance analysis'!$B$4:$B$7</c:f>
              <c:numCache>
                <c:formatCode>General</c:formatCode>
                <c:ptCount val="3"/>
                <c:pt idx="0">
                  <c:v>75.571428571428569</c:v>
                </c:pt>
                <c:pt idx="1">
                  <c:v>80.095238095238102</c:v>
                </c:pt>
                <c:pt idx="2">
                  <c:v>72.555555555555557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EB-489F-B06E-5A54F2ABA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3652031"/>
        <c:axId val="323637151"/>
      </c:barChart>
      <c:catAx>
        <c:axId val="32365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637151"/>
        <c:crosses val="autoZero"/>
        <c:auto val="1"/>
        <c:lblAlgn val="ctr"/>
        <c:lblOffset val="100"/>
        <c:noMultiLvlLbl val="0"/>
      </c:catAx>
      <c:valAx>
        <c:axId val="32363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65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[STUDENT_PERFORMANCE.CSV.xlsx]Gender-wise perfomance analysis!PivotTable2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Gender-wise</a:t>
            </a:r>
            <a:r>
              <a:rPr lang="en-IN" baseline="0"/>
              <a:t> performance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'Gender-wise perfomance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D2-4FBF-AFA3-14E114CB23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D2-4FBF-AFA3-14E114CB23CD}"/>
              </c:ext>
            </c:extLst>
          </c:dPt>
          <c:cat>
            <c:strRef>
              <c:f>'Gender-wise perfomance analysis'!$A$4:$A$6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'Gender-wise perfomance analysis'!$B$4:$B$6</c:f>
              <c:numCache>
                <c:formatCode>General</c:formatCode>
                <c:ptCount val="2"/>
                <c:pt idx="0">
                  <c:v>90.3</c:v>
                </c:pt>
                <c:pt idx="1">
                  <c:v>62.2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E-44FA-AFE8-1FDBDD437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[STUDENT_PERFORMANCE.CSV.xlsx]Factor affecting performance!PivotTable1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Attendance</a:t>
            </a:r>
            <a:r>
              <a:rPr lang="en-US" baseline="0"/>
              <a:t> vs Marks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'Factor affecting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'Factor affecting performance'!$A$4:$A$24</c:f>
              <c:strCache>
                <c:ptCount val="20"/>
                <c:pt idx="0">
                  <c:v>60</c:v>
                </c:pt>
                <c:pt idx="1">
                  <c:v>65</c:v>
                </c:pt>
                <c:pt idx="2">
                  <c:v>68</c:v>
                </c:pt>
                <c:pt idx="3">
                  <c:v>70</c:v>
                </c:pt>
                <c:pt idx="4">
                  <c:v>72</c:v>
                </c:pt>
                <c:pt idx="5">
                  <c:v>75</c:v>
                </c:pt>
                <c:pt idx="6">
                  <c:v>78</c:v>
                </c:pt>
                <c:pt idx="7">
                  <c:v>80</c:v>
                </c:pt>
                <c:pt idx="8">
                  <c:v>82</c:v>
                </c:pt>
                <c:pt idx="9">
                  <c:v>88</c:v>
                </c:pt>
                <c:pt idx="10">
                  <c:v>89</c:v>
                </c:pt>
                <c:pt idx="11">
                  <c:v>90</c:v>
                </c:pt>
                <c:pt idx="12">
                  <c:v>92</c:v>
                </c:pt>
                <c:pt idx="13">
                  <c:v>93</c:v>
                </c:pt>
                <c:pt idx="14">
                  <c:v>94</c:v>
                </c:pt>
                <c:pt idx="15">
                  <c:v>95</c:v>
                </c:pt>
                <c:pt idx="16">
                  <c:v>96</c:v>
                </c:pt>
                <c:pt idx="17">
                  <c:v>97</c:v>
                </c:pt>
                <c:pt idx="18">
                  <c:v>98</c:v>
                </c:pt>
                <c:pt idx="19">
                  <c:v>99</c:v>
                </c:pt>
              </c:strCache>
            </c:strRef>
          </c:cat>
          <c:val>
            <c:numRef>
              <c:f>'Factor affecting performance'!$B$4:$B$24</c:f>
              <c:numCache>
                <c:formatCode>General</c:formatCode>
                <c:ptCount val="20"/>
                <c:pt idx="0">
                  <c:v>45</c:v>
                </c:pt>
                <c:pt idx="1">
                  <c:v>51</c:v>
                </c:pt>
                <c:pt idx="2">
                  <c:v>56.666666666666664</c:v>
                </c:pt>
                <c:pt idx="3">
                  <c:v>58</c:v>
                </c:pt>
                <c:pt idx="4">
                  <c:v>58.333333333333336</c:v>
                </c:pt>
                <c:pt idx="5">
                  <c:v>60</c:v>
                </c:pt>
                <c:pt idx="6">
                  <c:v>67.666666666666671</c:v>
                </c:pt>
                <c:pt idx="7">
                  <c:v>70</c:v>
                </c:pt>
                <c:pt idx="8">
                  <c:v>73.666666666666671</c:v>
                </c:pt>
                <c:pt idx="9">
                  <c:v>82.333333333333329</c:v>
                </c:pt>
                <c:pt idx="10">
                  <c:v>82.666666666666671</c:v>
                </c:pt>
                <c:pt idx="11">
                  <c:v>86</c:v>
                </c:pt>
                <c:pt idx="12">
                  <c:v>81.666666666666671</c:v>
                </c:pt>
                <c:pt idx="13">
                  <c:v>90</c:v>
                </c:pt>
                <c:pt idx="14">
                  <c:v>92.333333333333329</c:v>
                </c:pt>
                <c:pt idx="15">
                  <c:v>90.666666666666671</c:v>
                </c:pt>
                <c:pt idx="16">
                  <c:v>89.666666666666671</c:v>
                </c:pt>
                <c:pt idx="17">
                  <c:v>94.666666666666671</c:v>
                </c:pt>
                <c:pt idx="18">
                  <c:v>96.666666666666671</c:v>
                </c:pt>
                <c:pt idx="19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3C-40D4-8FC7-95B2EBA66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8515423"/>
        <c:axId val="628515903"/>
      </c:barChart>
      <c:catAx>
        <c:axId val="62851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515903"/>
        <c:crosses val="autoZero"/>
        <c:auto val="1"/>
        <c:lblAlgn val="ctr"/>
        <c:lblOffset val="100"/>
        <c:noMultiLvlLbl val="0"/>
      </c:catAx>
      <c:valAx>
        <c:axId val="62851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515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STUDY</a:t>
            </a:r>
            <a:r>
              <a:rPr lang="en-IN" baseline="0"/>
              <a:t> HOURS VS AVERAGE MARKS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'Student dataset'!$J$1</c:f>
              <c:strCache>
                <c:ptCount val="1"/>
                <c:pt idx="0">
                  <c:v>AVERAGE_MARKS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'Student dataset'!$F$2:$F$21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5</c:v>
                </c:pt>
                <c:pt idx="6">
                  <c:v>3</c:v>
                </c:pt>
                <c:pt idx="7">
                  <c:v>6</c:v>
                </c:pt>
                <c:pt idx="8">
                  <c:v>2</c:v>
                </c:pt>
                <c:pt idx="9">
                  <c:v>4</c:v>
                </c:pt>
                <c:pt idx="10">
                  <c:v>1</c:v>
                </c:pt>
                <c:pt idx="11">
                  <c:v>5</c:v>
                </c:pt>
                <c:pt idx="12">
                  <c:v>3</c:v>
                </c:pt>
                <c:pt idx="13">
                  <c:v>5</c:v>
                </c:pt>
                <c:pt idx="14">
                  <c:v>2</c:v>
                </c:pt>
                <c:pt idx="15">
                  <c:v>6</c:v>
                </c:pt>
                <c:pt idx="16">
                  <c:v>3</c:v>
                </c:pt>
                <c:pt idx="17">
                  <c:v>4</c:v>
                </c:pt>
                <c:pt idx="18">
                  <c:v>2</c:v>
                </c:pt>
                <c:pt idx="19">
                  <c:v>6</c:v>
                </c:pt>
              </c:numCache>
            </c:numRef>
          </c:xVal>
          <c:yVal>
            <c:numRef>
              <c:f>'Student dataset'!$J$2:$J$21</c:f>
              <c:numCache>
                <c:formatCode>General</c:formatCode>
                <c:ptCount val="20"/>
                <c:pt idx="0">
                  <c:v>81.666666666666671</c:v>
                </c:pt>
                <c:pt idx="1">
                  <c:v>89.666666666666671</c:v>
                </c:pt>
                <c:pt idx="2">
                  <c:v>60</c:v>
                </c:pt>
                <c:pt idx="3">
                  <c:v>82.666666666666671</c:v>
                </c:pt>
                <c:pt idx="4">
                  <c:v>51</c:v>
                </c:pt>
                <c:pt idx="5">
                  <c:v>92.333333333333329</c:v>
                </c:pt>
                <c:pt idx="6">
                  <c:v>70</c:v>
                </c:pt>
                <c:pt idx="7">
                  <c:v>94.666666666666671</c:v>
                </c:pt>
                <c:pt idx="8">
                  <c:v>58.333333333333336</c:v>
                </c:pt>
                <c:pt idx="9">
                  <c:v>82.333333333333329</c:v>
                </c:pt>
                <c:pt idx="10">
                  <c:v>45</c:v>
                </c:pt>
                <c:pt idx="11">
                  <c:v>90</c:v>
                </c:pt>
                <c:pt idx="12">
                  <c:v>67.666666666666671</c:v>
                </c:pt>
                <c:pt idx="13">
                  <c:v>90.666666666666671</c:v>
                </c:pt>
                <c:pt idx="14">
                  <c:v>58</c:v>
                </c:pt>
                <c:pt idx="15">
                  <c:v>96.666666666666671</c:v>
                </c:pt>
                <c:pt idx="16">
                  <c:v>73.666666666666671</c:v>
                </c:pt>
                <c:pt idx="17">
                  <c:v>86</c:v>
                </c:pt>
                <c:pt idx="18">
                  <c:v>56.666666666666664</c:v>
                </c:pt>
                <c:pt idx="19">
                  <c:v>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9B-446E-836B-E327451A4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936255"/>
        <c:axId val="1174939135"/>
      </c:scatterChart>
      <c:valAx>
        <c:axId val="1174936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939135"/>
        <c:crosses val="autoZero"/>
        <c:crossBetween val="midCat"/>
      </c:valAx>
      <c:valAx>
        <c:axId val="117493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936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[STUDENT_PERFORMANCE.CSV.xlsx]Gender-wise perfomance analysis!PivotTable2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Gender-wise</a:t>
            </a:r>
            <a:r>
              <a:rPr lang="en-IN" baseline="0"/>
              <a:t> performance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'Gender-wise perfomance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29-4F3B-8873-587A4D2177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29-4F3B-8873-587A4D21773A}"/>
              </c:ext>
            </c:extLst>
          </c:dPt>
          <c:cat>
            <c:strRef>
              <c:f>'Gender-wise perfomance analysis'!$A$4:$A$6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'Gender-wise perfomance analysis'!$B$4:$B$6</c:f>
              <c:numCache>
                <c:formatCode>General</c:formatCode>
                <c:ptCount val="2"/>
                <c:pt idx="0">
                  <c:v>90.3</c:v>
                </c:pt>
                <c:pt idx="1">
                  <c:v>62.2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29-4F3B-8873-587A4D217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[STUDENT_PERFORMANCE.CSV.xlsx]Class-wise performance analysis!PivotTable1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</a:t>
            </a:r>
            <a:r>
              <a:rPr lang="en-US" baseline="0"/>
              <a:t> wise average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213648293963254E-2"/>
          <c:y val="0.25865522018081066"/>
          <c:w val="0.78645603674540687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'Class-wise performance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'Class-wise performance analysis'!$A$4:$A$7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'Class-wise performance analysis'!$B$4:$B$7</c:f>
              <c:numCache>
                <c:formatCode>General</c:formatCode>
                <c:ptCount val="3"/>
                <c:pt idx="0">
                  <c:v>75.571428571428569</c:v>
                </c:pt>
                <c:pt idx="1">
                  <c:v>80.095238095238102</c:v>
                </c:pt>
                <c:pt idx="2">
                  <c:v>72.555555555555557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E-4EFC-93A7-5E5D26021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3652031"/>
        <c:axId val="323637151"/>
      </c:barChart>
      <c:catAx>
        <c:axId val="32365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637151"/>
        <c:crosses val="autoZero"/>
        <c:auto val="1"/>
        <c:lblAlgn val="ctr"/>
        <c:lblOffset val="100"/>
        <c:noMultiLvlLbl val="0"/>
      </c:catAx>
      <c:valAx>
        <c:axId val="32363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65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129540</xdr:colOff>
      <xdr:row>0</xdr:row>
      <xdr:rowOff>388620</xdr:rowOff>
    </xdr:from>
    <xdr:to>
      <xdr:col>20</xdr:col>
      <xdr:colOff>434340</xdr:colOff>
      <xdr:row>13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5447DF-AC9A-D2F6-20CB-A8AA02655C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251460</xdr:colOff>
      <xdr:row>1</xdr:row>
      <xdr:rowOff>15240</xdr:rowOff>
    </xdr:from>
    <xdr:to>
      <xdr:col>9</xdr:col>
      <xdr:colOff>556260</xdr:colOff>
      <xdr:row>16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D01B90-D837-D736-655B-6DCA759BED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297180</xdr:colOff>
      <xdr:row>1</xdr:row>
      <xdr:rowOff>91440</xdr:rowOff>
    </xdr:from>
    <xdr:to>
      <xdr:col>9</xdr:col>
      <xdr:colOff>601980</xdr:colOff>
      <xdr:row>16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8D52D6-1517-1C51-7095-323545B106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320040</xdr:colOff>
      <xdr:row>2</xdr:row>
      <xdr:rowOff>22860</xdr:rowOff>
    </xdr:from>
    <xdr:to>
      <xdr:col>11</xdr:col>
      <xdr:colOff>15240</xdr:colOff>
      <xdr:row>17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2FC51F-0DE3-212C-B0AF-B89438DB5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53340</xdr:colOff>
      <xdr:row>1</xdr:row>
      <xdr:rowOff>114300</xdr:rowOff>
    </xdr:from>
    <xdr:to>
      <xdr:col>19</xdr:col>
      <xdr:colOff>358140</xdr:colOff>
      <xdr:row>16</xdr:row>
      <xdr:rowOff>114300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F3DEBB3D-F28E-E666-76E1-7AD3E2B9EE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220980</xdr:colOff>
      <xdr:row>18</xdr:row>
      <xdr:rowOff>0</xdr:rowOff>
    </xdr:from>
    <xdr:to>
      <xdr:col>10</xdr:col>
      <xdr:colOff>525780</xdr:colOff>
      <xdr:row>33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63E9F06-9168-4820-930C-3428FC53B8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7620</xdr:colOff>
      <xdr:row>17</xdr:row>
      <xdr:rowOff>175260</xdr:rowOff>
    </xdr:from>
    <xdr:to>
      <xdr:col>19</xdr:col>
      <xdr:colOff>312420</xdr:colOff>
      <xdr:row>32</xdr:row>
      <xdr:rowOff>175260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A827FB9-6352-4063-A50E-42BDAA5741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bham kumar" refreshedDate="46180.914530324073" createdVersion="8" refreshedVersion="8" minRefreshableVersion="3" recordCount="20" xr:uid="{C4577609-B7C4-4313-A108-CA2BA73B3EDE}">
  <cacheSource type="worksheet">
    <worksheetSource ref="A1:J21" sheet="Student dataset"/>
  </cacheSource>
  <cacheFields count="10">
    <cacheField name="Student_ID" numFmtId="0">
      <sharedItems/>
    </cacheField>
    <cacheField name="Student_Name" numFmtId="0">
      <sharedItems/>
    </cacheField>
    <cacheField name="Class" numFmtId="0">
      <sharedItems count="3">
        <s v="A"/>
        <s v="B"/>
        <s v="C"/>
      </sharedItems>
    </cacheField>
    <cacheField name="Gender" numFmtId="0">
      <sharedItems count="2">
        <s v="Male"/>
        <s v="Female"/>
      </sharedItems>
    </cacheField>
    <cacheField name="Attendance_Percent" numFmtId="0">
      <sharedItems containsSemiMixedTypes="0" containsString="0" containsNumber="1" containsInteger="1" minValue="60" maxValue="99" count="20">
        <n v="92"/>
        <n v="96"/>
        <n v="75"/>
        <n v="89"/>
        <n v="65"/>
        <n v="94"/>
        <n v="80"/>
        <n v="97"/>
        <n v="72"/>
        <n v="88"/>
        <n v="60"/>
        <n v="93"/>
        <n v="78"/>
        <n v="95"/>
        <n v="70"/>
        <n v="98"/>
        <n v="82"/>
        <n v="90"/>
        <n v="68"/>
        <n v="99"/>
      </sharedItems>
    </cacheField>
    <cacheField name="Study_Hours_Per_Day" numFmtId="0">
      <sharedItems containsSemiMixedTypes="0" containsString="0" containsNumber="1" containsInteger="1" minValue="1" maxValue="6" count="6">
        <n v="4"/>
        <n v="5"/>
        <n v="2"/>
        <n v="1"/>
        <n v="3"/>
        <n v="6"/>
      </sharedItems>
    </cacheField>
    <cacheField name="Math_Marks" numFmtId="0">
      <sharedItems containsSemiMixedTypes="0" containsString="0" containsNumber="1" containsInteger="1" minValue="45" maxValue="98"/>
    </cacheField>
    <cacheField name="Science_Marks" numFmtId="0">
      <sharedItems containsSemiMixedTypes="0" containsString="0" containsNumber="1" containsInteger="1" minValue="42" maxValue="97"/>
    </cacheField>
    <cacheField name="English_Marks" numFmtId="0">
      <sharedItems containsSemiMixedTypes="0" containsString="0" containsNumber="1" containsInteger="1" minValue="48" maxValue="99"/>
    </cacheField>
    <cacheField name="AVERAGE_MARKS" numFmtId="0">
      <sharedItems containsSemiMixedTypes="0" containsString="0" containsNumber="1" minValue="45" maxValue="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S001"/>
    <s v="Rahul"/>
    <x v="0"/>
    <x v="0"/>
    <x v="0"/>
    <x v="0"/>
    <n v="85"/>
    <n v="78"/>
    <n v="82"/>
    <n v="81.666666666666671"/>
  </r>
  <r>
    <s v="S002"/>
    <s v="Priya"/>
    <x v="0"/>
    <x v="1"/>
    <x v="1"/>
    <x v="1"/>
    <n v="90"/>
    <n v="88"/>
    <n v="91"/>
    <n v="89.666666666666671"/>
  </r>
  <r>
    <s v="S003"/>
    <s v="Amit"/>
    <x v="0"/>
    <x v="0"/>
    <x v="2"/>
    <x v="2"/>
    <n v="60"/>
    <n v="58"/>
    <n v="62"/>
    <n v="60"/>
  </r>
  <r>
    <s v="S004"/>
    <s v="Neha"/>
    <x v="0"/>
    <x v="1"/>
    <x v="3"/>
    <x v="0"/>
    <n v="80"/>
    <n v="85"/>
    <n v="83"/>
    <n v="82.666666666666671"/>
  </r>
  <r>
    <s v="S005"/>
    <s v="Arjun"/>
    <x v="1"/>
    <x v="0"/>
    <x v="4"/>
    <x v="3"/>
    <n v="50"/>
    <n v="48"/>
    <n v="55"/>
    <n v="51"/>
  </r>
  <r>
    <s v="S006"/>
    <s v="Kavya"/>
    <x v="1"/>
    <x v="1"/>
    <x v="5"/>
    <x v="1"/>
    <n v="92"/>
    <n v="90"/>
    <n v="95"/>
    <n v="92.333333333333329"/>
  </r>
  <r>
    <s v="S007"/>
    <s v="Rohit"/>
    <x v="1"/>
    <x v="0"/>
    <x v="6"/>
    <x v="4"/>
    <n v="70"/>
    <n v="68"/>
    <n v="72"/>
    <n v="70"/>
  </r>
  <r>
    <s v="S008"/>
    <s v="Anjali"/>
    <x v="1"/>
    <x v="1"/>
    <x v="7"/>
    <x v="5"/>
    <n v="95"/>
    <n v="93"/>
    <n v="96"/>
    <n v="94.666666666666671"/>
  </r>
  <r>
    <s v="S009"/>
    <s v="Vivek"/>
    <x v="2"/>
    <x v="0"/>
    <x v="8"/>
    <x v="2"/>
    <n v="58"/>
    <n v="60"/>
    <n v="57"/>
    <n v="58.333333333333336"/>
  </r>
  <r>
    <s v="S010"/>
    <s v="Pooja"/>
    <x v="2"/>
    <x v="1"/>
    <x v="9"/>
    <x v="0"/>
    <n v="82"/>
    <n v="80"/>
    <n v="85"/>
    <n v="82.333333333333329"/>
  </r>
  <r>
    <s v="S011"/>
    <s v="Deepak"/>
    <x v="2"/>
    <x v="0"/>
    <x v="10"/>
    <x v="3"/>
    <n v="45"/>
    <n v="42"/>
    <n v="48"/>
    <n v="45"/>
  </r>
  <r>
    <s v="S012"/>
    <s v="Sneha"/>
    <x v="2"/>
    <x v="1"/>
    <x v="11"/>
    <x v="1"/>
    <n v="89"/>
    <n v="91"/>
    <n v="90"/>
    <n v="90"/>
  </r>
  <r>
    <s v="S013"/>
    <s v="Manish"/>
    <x v="0"/>
    <x v="0"/>
    <x v="12"/>
    <x v="4"/>
    <n v="68"/>
    <n v="65"/>
    <n v="70"/>
    <n v="67.666666666666671"/>
  </r>
  <r>
    <s v="S014"/>
    <s v="Riya"/>
    <x v="0"/>
    <x v="1"/>
    <x v="13"/>
    <x v="1"/>
    <n v="91"/>
    <n v="92"/>
    <n v="89"/>
    <n v="90.666666666666671"/>
  </r>
  <r>
    <s v="S015"/>
    <s v="Karan"/>
    <x v="1"/>
    <x v="0"/>
    <x v="14"/>
    <x v="2"/>
    <n v="55"/>
    <n v="59"/>
    <n v="60"/>
    <n v="58"/>
  </r>
  <r>
    <s v="S016"/>
    <s v="Simran"/>
    <x v="1"/>
    <x v="1"/>
    <x v="15"/>
    <x v="5"/>
    <n v="97"/>
    <n v="95"/>
    <n v="98"/>
    <n v="96.666666666666671"/>
  </r>
  <r>
    <s v="S017"/>
    <s v="Akash"/>
    <x v="2"/>
    <x v="0"/>
    <x v="16"/>
    <x v="4"/>
    <n v="74"/>
    <n v="72"/>
    <n v="75"/>
    <n v="73.666666666666671"/>
  </r>
  <r>
    <s v="S018"/>
    <s v="Nidhi"/>
    <x v="2"/>
    <x v="1"/>
    <x v="17"/>
    <x v="0"/>
    <n v="84"/>
    <n v="86"/>
    <n v="88"/>
    <n v="86"/>
  </r>
  <r>
    <s v="S019"/>
    <s v="Varun"/>
    <x v="0"/>
    <x v="0"/>
    <x v="18"/>
    <x v="2"/>
    <n v="57"/>
    <n v="54"/>
    <n v="59"/>
    <n v="56.666666666666664"/>
  </r>
  <r>
    <s v="S020"/>
    <s v="Meera"/>
    <x v="1"/>
    <x v="1"/>
    <x v="19"/>
    <x v="5"/>
    <n v="98"/>
    <n v="97"/>
    <n v="99"/>
    <n v="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6E15DB-EB03-4F1C-8373-E2410797644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10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VERAGE_MARKS" fld="9" subtotal="average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EAEFC4-FEBD-4A16-A519-A239783A821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6" firstHeaderRow="1" firstDataRow="1" firstDataCol="1"/>
  <pivotFields count="10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AVERAGE_MARKS" fld="9" subtotal="average" baseField="3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24D6CD-B5CB-4405-B686-3041E64675F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24" firstHeaderRow="1" firstDataRow="1" firstDataCol="1"/>
  <pivotFields count="10">
    <pivotField showAll="0"/>
    <pivotField showAll="0"/>
    <pivotField showAll="0"/>
    <pivotField showAll="0"/>
    <pivotField axis="axisRow" showAll="0">
      <items count="21">
        <item x="10"/>
        <item x="4"/>
        <item x="18"/>
        <item x="14"/>
        <item x="8"/>
        <item x="2"/>
        <item x="12"/>
        <item x="6"/>
        <item x="16"/>
        <item x="9"/>
        <item x="3"/>
        <item x="17"/>
        <item x="0"/>
        <item x="11"/>
        <item x="5"/>
        <item x="13"/>
        <item x="1"/>
        <item x="7"/>
        <item x="15"/>
        <item x="19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Average of AVERAGE_MARKS" fld="9" subtotal="average" baseField="4" baseItem="3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D3D3-25C1-48EA-B8F5-813922CCCF50}">
  <dimension ref="A1:L21"/>
  <sheetViews>
    <sheetView workbookViewId="0">
      <selection activeCell="M11" sqref="M11"/>
    </sheetView>
  </sheetViews>
  <sheetFormatPr defaultRowHeight="14.4" x14ac:dyDescent="0.3"/>
  <cols>
    <col min="9" max="10" width="8.88671875" customWidth="1"/>
  </cols>
  <sheetData>
    <row r="1" spans="1:12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54</v>
      </c>
      <c r="K1" s="1" t="s">
        <v>55</v>
      </c>
      <c r="L1">
        <f>AVERAGE(G2:G21)</f>
        <v>76</v>
      </c>
    </row>
    <row r="2" spans="1:12" ht="28.8" x14ac:dyDescent="0.3">
      <c r="A2" s="2" t="s">
        <v>9</v>
      </c>
      <c r="B2" s="2" t="s">
        <v>10</v>
      </c>
      <c r="C2" s="2" t="s">
        <v>11</v>
      </c>
      <c r="D2" s="2" t="s">
        <v>12</v>
      </c>
      <c r="E2" s="2">
        <v>92</v>
      </c>
      <c r="F2" s="2">
        <v>4</v>
      </c>
      <c r="G2" s="2">
        <v>85</v>
      </c>
      <c r="H2" s="2">
        <v>78</v>
      </c>
      <c r="I2" s="2">
        <v>82</v>
      </c>
      <c r="J2">
        <f>AVERAGE(G2:I2)</f>
        <v>81.666666666666671</v>
      </c>
      <c r="K2" s="1" t="s">
        <v>56</v>
      </c>
      <c r="L2">
        <f>AVERAGE(H2:H21)</f>
        <v>75.05</v>
      </c>
    </row>
    <row r="3" spans="1:12" ht="28.8" x14ac:dyDescent="0.3">
      <c r="A3" s="2" t="s">
        <v>13</v>
      </c>
      <c r="B3" s="2" t="s">
        <v>14</v>
      </c>
      <c r="C3" s="2" t="s">
        <v>11</v>
      </c>
      <c r="D3" s="2" t="s">
        <v>15</v>
      </c>
      <c r="E3" s="2">
        <v>96</v>
      </c>
      <c r="F3" s="2">
        <v>5</v>
      </c>
      <c r="G3" s="2">
        <v>90</v>
      </c>
      <c r="H3" s="2">
        <v>88</v>
      </c>
      <c r="I3" s="2">
        <v>91</v>
      </c>
      <c r="J3">
        <f t="shared" ref="J3:J21" si="0">AVERAGE(G3:I3)</f>
        <v>89.666666666666671</v>
      </c>
      <c r="K3" s="1" t="s">
        <v>57</v>
      </c>
      <c r="L3">
        <f>AVERAGE(I2:I21)</f>
        <v>77.7</v>
      </c>
    </row>
    <row r="4" spans="1:12" x14ac:dyDescent="0.3">
      <c r="A4" s="2" t="s">
        <v>16</v>
      </c>
      <c r="B4" s="2" t="s">
        <v>17</v>
      </c>
      <c r="C4" s="2" t="s">
        <v>11</v>
      </c>
      <c r="D4" s="2" t="s">
        <v>12</v>
      </c>
      <c r="E4" s="2">
        <v>75</v>
      </c>
      <c r="F4" s="2">
        <v>2</v>
      </c>
      <c r="G4" s="2">
        <v>60</v>
      </c>
      <c r="H4" s="2">
        <v>58</v>
      </c>
      <c r="I4" s="2">
        <v>62</v>
      </c>
      <c r="J4">
        <f t="shared" si="0"/>
        <v>60</v>
      </c>
      <c r="L4" s="1"/>
    </row>
    <row r="5" spans="1:12" x14ac:dyDescent="0.3">
      <c r="A5" s="2" t="s">
        <v>18</v>
      </c>
      <c r="B5" s="2" t="s">
        <v>19</v>
      </c>
      <c r="C5" s="2" t="s">
        <v>11</v>
      </c>
      <c r="D5" s="2" t="s">
        <v>15</v>
      </c>
      <c r="E5" s="2">
        <v>89</v>
      </c>
      <c r="F5" s="2">
        <v>4</v>
      </c>
      <c r="G5" s="2">
        <v>80</v>
      </c>
      <c r="H5" s="2">
        <v>85</v>
      </c>
      <c r="I5" s="2">
        <v>83</v>
      </c>
      <c r="J5">
        <f t="shared" si="0"/>
        <v>82.666666666666671</v>
      </c>
      <c r="L5" s="1"/>
    </row>
    <row r="6" spans="1:12" x14ac:dyDescent="0.3">
      <c r="A6" s="2" t="s">
        <v>20</v>
      </c>
      <c r="B6" s="2" t="s">
        <v>21</v>
      </c>
      <c r="C6" s="2" t="s">
        <v>22</v>
      </c>
      <c r="D6" s="2" t="s">
        <v>12</v>
      </c>
      <c r="E6" s="2">
        <v>65</v>
      </c>
      <c r="F6" s="2">
        <v>1</v>
      </c>
      <c r="G6" s="2">
        <v>50</v>
      </c>
      <c r="H6" s="2">
        <v>48</v>
      </c>
      <c r="I6" s="2">
        <v>55</v>
      </c>
      <c r="J6">
        <f t="shared" si="0"/>
        <v>51</v>
      </c>
      <c r="L6" s="1"/>
    </row>
    <row r="7" spans="1:12" x14ac:dyDescent="0.3">
      <c r="A7" s="2" t="s">
        <v>23</v>
      </c>
      <c r="B7" s="2" t="s">
        <v>24</v>
      </c>
      <c r="C7" s="2" t="s">
        <v>22</v>
      </c>
      <c r="D7" s="2" t="s">
        <v>15</v>
      </c>
      <c r="E7" s="2">
        <v>94</v>
      </c>
      <c r="F7" s="2">
        <v>5</v>
      </c>
      <c r="G7" s="2">
        <v>92</v>
      </c>
      <c r="H7" s="2">
        <v>90</v>
      </c>
      <c r="I7" s="2">
        <v>95</v>
      </c>
      <c r="J7">
        <f t="shared" si="0"/>
        <v>92.333333333333329</v>
      </c>
      <c r="L7" s="1"/>
    </row>
    <row r="8" spans="1:12" x14ac:dyDescent="0.3">
      <c r="A8" s="2" t="s">
        <v>25</v>
      </c>
      <c r="B8" s="2" t="s">
        <v>26</v>
      </c>
      <c r="C8" s="2" t="s">
        <v>22</v>
      </c>
      <c r="D8" s="2" t="s">
        <v>12</v>
      </c>
      <c r="E8" s="2">
        <v>80</v>
      </c>
      <c r="F8" s="2">
        <v>3</v>
      </c>
      <c r="G8" s="2">
        <v>70</v>
      </c>
      <c r="H8" s="2">
        <v>68</v>
      </c>
      <c r="I8" s="2">
        <v>72</v>
      </c>
      <c r="J8">
        <f t="shared" si="0"/>
        <v>70</v>
      </c>
      <c r="L8" s="1"/>
    </row>
    <row r="9" spans="1:12" x14ac:dyDescent="0.3">
      <c r="A9" s="2" t="s">
        <v>27</v>
      </c>
      <c r="B9" s="2" t="s">
        <v>28</v>
      </c>
      <c r="C9" s="2" t="s">
        <v>22</v>
      </c>
      <c r="D9" s="2" t="s">
        <v>15</v>
      </c>
      <c r="E9" s="2">
        <v>97</v>
      </c>
      <c r="F9" s="2">
        <v>6</v>
      </c>
      <c r="G9" s="2">
        <v>95</v>
      </c>
      <c r="H9" s="2">
        <v>93</v>
      </c>
      <c r="I9" s="2">
        <v>96</v>
      </c>
      <c r="J9">
        <f t="shared" si="0"/>
        <v>94.666666666666671</v>
      </c>
      <c r="L9" s="1"/>
    </row>
    <row r="10" spans="1:12" x14ac:dyDescent="0.3">
      <c r="A10" s="2" t="s">
        <v>29</v>
      </c>
      <c r="B10" s="2" t="s">
        <v>30</v>
      </c>
      <c r="C10" s="2" t="s">
        <v>31</v>
      </c>
      <c r="D10" s="2" t="s">
        <v>12</v>
      </c>
      <c r="E10" s="2">
        <v>72</v>
      </c>
      <c r="F10" s="2">
        <v>2</v>
      </c>
      <c r="G10" s="2">
        <v>58</v>
      </c>
      <c r="H10" s="2">
        <v>60</v>
      </c>
      <c r="I10" s="2">
        <v>57</v>
      </c>
      <c r="J10">
        <f t="shared" si="0"/>
        <v>58.333333333333336</v>
      </c>
      <c r="L10" s="1"/>
    </row>
    <row r="11" spans="1:12" x14ac:dyDescent="0.3">
      <c r="A11" s="2" t="s">
        <v>32</v>
      </c>
      <c r="B11" s="2" t="s">
        <v>33</v>
      </c>
      <c r="C11" s="2" t="s">
        <v>31</v>
      </c>
      <c r="D11" s="2" t="s">
        <v>15</v>
      </c>
      <c r="E11" s="2">
        <v>88</v>
      </c>
      <c r="F11" s="2">
        <v>4</v>
      </c>
      <c r="G11" s="2">
        <v>82</v>
      </c>
      <c r="H11" s="2">
        <v>80</v>
      </c>
      <c r="I11" s="2">
        <v>85</v>
      </c>
      <c r="J11">
        <f t="shared" si="0"/>
        <v>82.333333333333329</v>
      </c>
      <c r="L11" s="1"/>
    </row>
    <row r="12" spans="1:12" x14ac:dyDescent="0.3">
      <c r="A12" s="2" t="s">
        <v>34</v>
      </c>
      <c r="B12" s="2" t="s">
        <v>35</v>
      </c>
      <c r="C12" s="2" t="s">
        <v>31</v>
      </c>
      <c r="D12" s="2" t="s">
        <v>12</v>
      </c>
      <c r="E12" s="2">
        <v>60</v>
      </c>
      <c r="F12" s="2">
        <v>1</v>
      </c>
      <c r="G12" s="2">
        <v>45</v>
      </c>
      <c r="H12" s="2">
        <v>42</v>
      </c>
      <c r="I12" s="2">
        <v>48</v>
      </c>
      <c r="J12">
        <f t="shared" si="0"/>
        <v>45</v>
      </c>
      <c r="L12" s="1"/>
    </row>
    <row r="13" spans="1:12" x14ac:dyDescent="0.3">
      <c r="A13" s="2" t="s">
        <v>36</v>
      </c>
      <c r="B13" s="2" t="s">
        <v>37</v>
      </c>
      <c r="C13" s="2" t="s">
        <v>31</v>
      </c>
      <c r="D13" s="2" t="s">
        <v>15</v>
      </c>
      <c r="E13" s="2">
        <v>93</v>
      </c>
      <c r="F13" s="2">
        <v>5</v>
      </c>
      <c r="G13" s="2">
        <v>89</v>
      </c>
      <c r="H13" s="2">
        <v>91</v>
      </c>
      <c r="I13" s="2">
        <v>90</v>
      </c>
      <c r="J13">
        <f t="shared" si="0"/>
        <v>90</v>
      </c>
      <c r="L13" s="1"/>
    </row>
    <row r="14" spans="1:12" x14ac:dyDescent="0.3">
      <c r="A14" s="2" t="s">
        <v>38</v>
      </c>
      <c r="B14" s="2" t="s">
        <v>39</v>
      </c>
      <c r="C14" s="2" t="s">
        <v>11</v>
      </c>
      <c r="D14" s="2" t="s">
        <v>12</v>
      </c>
      <c r="E14" s="2">
        <v>78</v>
      </c>
      <c r="F14" s="2">
        <v>3</v>
      </c>
      <c r="G14" s="2">
        <v>68</v>
      </c>
      <c r="H14" s="2">
        <v>65</v>
      </c>
      <c r="I14" s="2">
        <v>70</v>
      </c>
      <c r="J14">
        <f t="shared" si="0"/>
        <v>67.666666666666671</v>
      </c>
      <c r="L14" s="1"/>
    </row>
    <row r="15" spans="1:12" x14ac:dyDescent="0.3">
      <c r="A15" s="2" t="s">
        <v>40</v>
      </c>
      <c r="B15" s="2" t="s">
        <v>41</v>
      </c>
      <c r="C15" s="2" t="s">
        <v>11</v>
      </c>
      <c r="D15" s="2" t="s">
        <v>15</v>
      </c>
      <c r="E15" s="2">
        <v>95</v>
      </c>
      <c r="F15" s="2">
        <v>5</v>
      </c>
      <c r="G15" s="2">
        <v>91</v>
      </c>
      <c r="H15" s="2">
        <v>92</v>
      </c>
      <c r="I15" s="2">
        <v>89</v>
      </c>
      <c r="J15">
        <f t="shared" si="0"/>
        <v>90.666666666666671</v>
      </c>
      <c r="L15" s="1"/>
    </row>
    <row r="16" spans="1:12" x14ac:dyDescent="0.3">
      <c r="A16" s="2" t="s">
        <v>42</v>
      </c>
      <c r="B16" s="2" t="s">
        <v>43</v>
      </c>
      <c r="C16" s="2" t="s">
        <v>22</v>
      </c>
      <c r="D16" s="2" t="s">
        <v>12</v>
      </c>
      <c r="E16" s="2">
        <v>70</v>
      </c>
      <c r="F16" s="2">
        <v>2</v>
      </c>
      <c r="G16" s="2">
        <v>55</v>
      </c>
      <c r="H16" s="2">
        <v>59</v>
      </c>
      <c r="I16" s="2">
        <v>60</v>
      </c>
      <c r="J16">
        <f t="shared" si="0"/>
        <v>58</v>
      </c>
      <c r="L16" s="1"/>
    </row>
    <row r="17" spans="1:12" x14ac:dyDescent="0.3">
      <c r="A17" s="2" t="s">
        <v>44</v>
      </c>
      <c r="B17" s="2" t="s">
        <v>45</v>
      </c>
      <c r="C17" s="2" t="s">
        <v>22</v>
      </c>
      <c r="D17" s="2" t="s">
        <v>15</v>
      </c>
      <c r="E17" s="2">
        <v>98</v>
      </c>
      <c r="F17" s="2">
        <v>6</v>
      </c>
      <c r="G17" s="2">
        <v>97</v>
      </c>
      <c r="H17" s="2">
        <v>95</v>
      </c>
      <c r="I17" s="2">
        <v>98</v>
      </c>
      <c r="J17">
        <f t="shared" si="0"/>
        <v>96.666666666666671</v>
      </c>
      <c r="L17" s="1"/>
    </row>
    <row r="18" spans="1:12" x14ac:dyDescent="0.3">
      <c r="A18" s="2" t="s">
        <v>46</v>
      </c>
      <c r="B18" s="2" t="s">
        <v>47</v>
      </c>
      <c r="C18" s="2" t="s">
        <v>31</v>
      </c>
      <c r="D18" s="2" t="s">
        <v>12</v>
      </c>
      <c r="E18" s="2">
        <v>82</v>
      </c>
      <c r="F18" s="2">
        <v>3</v>
      </c>
      <c r="G18" s="2">
        <v>74</v>
      </c>
      <c r="H18" s="2">
        <v>72</v>
      </c>
      <c r="I18" s="2">
        <v>75</v>
      </c>
      <c r="J18">
        <f t="shared" si="0"/>
        <v>73.666666666666671</v>
      </c>
      <c r="L18" s="1"/>
    </row>
    <row r="19" spans="1:12" x14ac:dyDescent="0.3">
      <c r="A19" s="2" t="s">
        <v>48</v>
      </c>
      <c r="B19" s="2" t="s">
        <v>49</v>
      </c>
      <c r="C19" s="2" t="s">
        <v>31</v>
      </c>
      <c r="D19" s="2" t="s">
        <v>15</v>
      </c>
      <c r="E19" s="2">
        <v>90</v>
      </c>
      <c r="F19" s="2">
        <v>4</v>
      </c>
      <c r="G19" s="2">
        <v>84</v>
      </c>
      <c r="H19" s="2">
        <v>86</v>
      </c>
      <c r="I19" s="2">
        <v>88</v>
      </c>
      <c r="J19">
        <f t="shared" si="0"/>
        <v>86</v>
      </c>
      <c r="L19" s="1"/>
    </row>
    <row r="20" spans="1:12" x14ac:dyDescent="0.3">
      <c r="A20" s="2" t="s">
        <v>50</v>
      </c>
      <c r="B20" s="2" t="s">
        <v>51</v>
      </c>
      <c r="C20" s="2" t="s">
        <v>11</v>
      </c>
      <c r="D20" s="2" t="s">
        <v>12</v>
      </c>
      <c r="E20" s="2">
        <v>68</v>
      </c>
      <c r="F20" s="2">
        <v>2</v>
      </c>
      <c r="G20" s="2">
        <v>57</v>
      </c>
      <c r="H20" s="2">
        <v>54</v>
      </c>
      <c r="I20" s="2">
        <v>59</v>
      </c>
      <c r="J20">
        <f t="shared" si="0"/>
        <v>56.666666666666664</v>
      </c>
      <c r="L20" s="1"/>
    </row>
    <row r="21" spans="1:12" x14ac:dyDescent="0.3">
      <c r="A21" s="2" t="s">
        <v>52</v>
      </c>
      <c r="B21" s="2" t="s">
        <v>53</v>
      </c>
      <c r="C21" s="2" t="s">
        <v>22</v>
      </c>
      <c r="D21" s="2" t="s">
        <v>15</v>
      </c>
      <c r="E21" s="2">
        <v>99</v>
      </c>
      <c r="F21" s="2">
        <v>6</v>
      </c>
      <c r="G21" s="2">
        <v>98</v>
      </c>
      <c r="H21" s="2">
        <v>97</v>
      </c>
      <c r="I21" s="2">
        <v>99</v>
      </c>
      <c r="J21">
        <f t="shared" si="0"/>
        <v>98</v>
      </c>
      <c r="L21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C81EB-E556-47FC-BFCB-95FEEC8E571D}">
  <dimension ref="A3:B7"/>
  <sheetViews>
    <sheetView topLeftCell="B1" workbookViewId="0">
      <selection activeCell="C25" sqref="C25"/>
    </sheetView>
  </sheetViews>
  <sheetFormatPr defaultRowHeight="14.4" x14ac:dyDescent="0.3"/>
  <cols>
    <col min="1" max="1" width="12.5546875" bestFit="1" customWidth="1"/>
    <col min="2" max="2" width="26.21875" bestFit="1" customWidth="1"/>
  </cols>
  <sheetData>
    <row r="3" spans="1:2" x14ac:dyDescent="0.3">
      <c r="A3" s="3" t="s">
        <v>58</v>
      </c>
      <c r="B3" t="s">
        <v>60</v>
      </c>
    </row>
    <row r="4" spans="1:2" x14ac:dyDescent="0.3">
      <c r="A4" s="4" t="s">
        <v>11</v>
      </c>
      <c r="B4">
        <v>75.571428571428569</v>
      </c>
    </row>
    <row r="5" spans="1:2" x14ac:dyDescent="0.3">
      <c r="A5" s="4" t="s">
        <v>22</v>
      </c>
      <c r="B5">
        <v>80.095238095238102</v>
      </c>
    </row>
    <row r="6" spans="1:2" x14ac:dyDescent="0.3">
      <c r="A6" s="4" t="s">
        <v>31</v>
      </c>
      <c r="B6">
        <v>72.555555555555557</v>
      </c>
    </row>
    <row r="7" spans="1:2" x14ac:dyDescent="0.3">
      <c r="A7" s="4" t="s">
        <v>59</v>
      </c>
      <c r="B7">
        <v>76.249999999999986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F282C-F7E6-4E7B-A091-EB4AC9A1536E}">
  <dimension ref="A3:B6"/>
  <sheetViews>
    <sheetView workbookViewId="0">
      <selection activeCell="F20" sqref="F20"/>
    </sheetView>
  </sheetViews>
  <sheetFormatPr defaultRowHeight="14.4" x14ac:dyDescent="0.3"/>
  <cols>
    <col min="1" max="1" width="12.5546875" bestFit="1" customWidth="1"/>
    <col min="2" max="2" width="26.21875" bestFit="1" customWidth="1"/>
  </cols>
  <sheetData>
    <row r="3" spans="1:2" x14ac:dyDescent="0.3">
      <c r="A3" s="3" t="s">
        <v>58</v>
      </c>
      <c r="B3" t="s">
        <v>60</v>
      </c>
    </row>
    <row r="4" spans="1:2" x14ac:dyDescent="0.3">
      <c r="A4" s="4" t="s">
        <v>15</v>
      </c>
      <c r="B4">
        <v>90.3</v>
      </c>
    </row>
    <row r="5" spans="1:2" x14ac:dyDescent="0.3">
      <c r="A5" s="4" t="s">
        <v>12</v>
      </c>
      <c r="B5">
        <v>62.2</v>
      </c>
    </row>
    <row r="6" spans="1:2" x14ac:dyDescent="0.3">
      <c r="A6" s="4" t="s">
        <v>59</v>
      </c>
      <c r="B6">
        <v>76.25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34FF-EC27-42F5-840F-8695F124ACA1}">
  <dimension ref="A3:B24"/>
  <sheetViews>
    <sheetView topLeftCell="B4" workbookViewId="0">
      <selection activeCell="L24" sqref="L24"/>
    </sheetView>
  </sheetViews>
  <sheetFormatPr defaultRowHeight="14.4" x14ac:dyDescent="0.3"/>
  <cols>
    <col min="1" max="1" width="12.5546875" bestFit="1" customWidth="1"/>
    <col min="2" max="2" width="26.21875" bestFit="1" customWidth="1"/>
  </cols>
  <sheetData>
    <row r="3" spans="1:2" x14ac:dyDescent="0.3">
      <c r="A3" s="3" t="s">
        <v>58</v>
      </c>
      <c r="B3" t="s">
        <v>60</v>
      </c>
    </row>
    <row r="4" spans="1:2" x14ac:dyDescent="0.3">
      <c r="A4" s="4">
        <v>60</v>
      </c>
      <c r="B4">
        <v>45</v>
      </c>
    </row>
    <row r="5" spans="1:2" x14ac:dyDescent="0.3">
      <c r="A5" s="4">
        <v>65</v>
      </c>
      <c r="B5">
        <v>51</v>
      </c>
    </row>
    <row r="6" spans="1:2" x14ac:dyDescent="0.3">
      <c r="A6" s="4">
        <v>68</v>
      </c>
      <c r="B6">
        <v>56.666666666666664</v>
      </c>
    </row>
    <row r="7" spans="1:2" x14ac:dyDescent="0.3">
      <c r="A7" s="4">
        <v>70</v>
      </c>
      <c r="B7">
        <v>58</v>
      </c>
    </row>
    <row r="8" spans="1:2" x14ac:dyDescent="0.3">
      <c r="A8" s="4">
        <v>72</v>
      </c>
      <c r="B8">
        <v>58.333333333333336</v>
      </c>
    </row>
    <row r="9" spans="1:2" x14ac:dyDescent="0.3">
      <c r="A9" s="4">
        <v>75</v>
      </c>
      <c r="B9">
        <v>60</v>
      </c>
    </row>
    <row r="10" spans="1:2" x14ac:dyDescent="0.3">
      <c r="A10" s="4">
        <v>78</v>
      </c>
      <c r="B10">
        <v>67.666666666666671</v>
      </c>
    </row>
    <row r="11" spans="1:2" x14ac:dyDescent="0.3">
      <c r="A11" s="4">
        <v>80</v>
      </c>
      <c r="B11">
        <v>70</v>
      </c>
    </row>
    <row r="12" spans="1:2" x14ac:dyDescent="0.3">
      <c r="A12" s="4">
        <v>82</v>
      </c>
      <c r="B12">
        <v>73.666666666666671</v>
      </c>
    </row>
    <row r="13" spans="1:2" x14ac:dyDescent="0.3">
      <c r="A13" s="4">
        <v>88</v>
      </c>
      <c r="B13">
        <v>82.333333333333329</v>
      </c>
    </row>
    <row r="14" spans="1:2" x14ac:dyDescent="0.3">
      <c r="A14" s="4">
        <v>89</v>
      </c>
      <c r="B14">
        <v>82.666666666666671</v>
      </c>
    </row>
    <row r="15" spans="1:2" x14ac:dyDescent="0.3">
      <c r="A15" s="4">
        <v>90</v>
      </c>
      <c r="B15">
        <v>86</v>
      </c>
    </row>
    <row r="16" spans="1:2" x14ac:dyDescent="0.3">
      <c r="A16" s="4">
        <v>92</v>
      </c>
      <c r="B16">
        <v>81.666666666666671</v>
      </c>
    </row>
    <row r="17" spans="1:2" x14ac:dyDescent="0.3">
      <c r="A17" s="4">
        <v>93</v>
      </c>
      <c r="B17">
        <v>90</v>
      </c>
    </row>
    <row r="18" spans="1:2" x14ac:dyDescent="0.3">
      <c r="A18" s="4">
        <v>94</v>
      </c>
      <c r="B18">
        <v>92.333333333333329</v>
      </c>
    </row>
    <row r="19" spans="1:2" x14ac:dyDescent="0.3">
      <c r="A19" s="4">
        <v>95</v>
      </c>
      <c r="B19">
        <v>90.666666666666671</v>
      </c>
    </row>
    <row r="20" spans="1:2" x14ac:dyDescent="0.3">
      <c r="A20" s="4">
        <v>96</v>
      </c>
      <c r="B20">
        <v>89.666666666666671</v>
      </c>
    </row>
    <row r="21" spans="1:2" x14ac:dyDescent="0.3">
      <c r="A21" s="4">
        <v>97</v>
      </c>
      <c r="B21">
        <v>94.666666666666671</v>
      </c>
    </row>
    <row r="22" spans="1:2" x14ac:dyDescent="0.3">
      <c r="A22" s="4">
        <v>98</v>
      </c>
      <c r="B22">
        <v>96.666666666666671</v>
      </c>
    </row>
    <row r="23" spans="1:2" x14ac:dyDescent="0.3">
      <c r="A23" s="4">
        <v>99</v>
      </c>
      <c r="B23">
        <v>98</v>
      </c>
    </row>
    <row r="24" spans="1:2" x14ac:dyDescent="0.3">
      <c r="A24" s="4" t="s">
        <v>59</v>
      </c>
      <c r="B24">
        <v>76.250000000000014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F4301-1511-4ED7-910E-869118941557}">
  <dimension ref="A1:A16"/>
  <sheetViews>
    <sheetView tabSelected="1" workbookViewId="0"/>
  </sheetViews>
  <sheetFormatPr defaultRowHeight="14.4" x14ac:dyDescent="0.3"/>
  <sheetData>
    <row r="1" spans="1:1" x14ac:dyDescent="0.3">
      <c r="A1" t="s">
        <v>61</v>
      </c>
    </row>
    <row r="3" spans="1:1" x14ac:dyDescent="0.3">
      <c r="A3" t="s">
        <v>62</v>
      </c>
    </row>
    <row r="5" spans="1:1" x14ac:dyDescent="0.3">
      <c r="A5" t="s">
        <v>63</v>
      </c>
    </row>
    <row r="6" spans="1:1" x14ac:dyDescent="0.3">
      <c r="A6" t="s">
        <v>64</v>
      </c>
    </row>
    <row r="7" spans="1:1" x14ac:dyDescent="0.3">
      <c r="A7" t="s">
        <v>65</v>
      </c>
    </row>
    <row r="8" spans="1:1" x14ac:dyDescent="0.3">
      <c r="A8" t="s">
        <v>66</v>
      </c>
    </row>
    <row r="9" spans="1:1" x14ac:dyDescent="0.3">
      <c r="A9" t="s">
        <v>67</v>
      </c>
    </row>
    <row r="10" spans="1:1" x14ac:dyDescent="0.3">
      <c r="A10" t="s">
        <v>68</v>
      </c>
    </row>
    <row r="13" spans="1:1" x14ac:dyDescent="0.3">
      <c r="A13" t="s">
        <v>69</v>
      </c>
    </row>
    <row r="14" spans="1:1" x14ac:dyDescent="0.3">
      <c r="A14" t="s">
        <v>70</v>
      </c>
    </row>
    <row r="15" spans="1:1" x14ac:dyDescent="0.3">
      <c r="A15" t="s">
        <v>71</v>
      </c>
    </row>
    <row r="16" spans="1:1" x14ac:dyDescent="0.3">
      <c r="A16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 dataset</vt:lpstr>
      <vt:lpstr>Class-wise performance analysis</vt:lpstr>
      <vt:lpstr>Gender-wise perfomance analysis</vt:lpstr>
      <vt:lpstr>Factor affecting performance</vt:lpstr>
      <vt:lpstr>Conclusion &amp; Recommedations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kumar</dc:creator>
  <cp:lastModifiedBy>shubham kumar</cp:lastModifiedBy>
  <dcterms:created xsi:type="dcterms:W3CDTF">2026-06-07T05:01:43Z</dcterms:created>
  <dcterms:modified xsi:type="dcterms:W3CDTF">2026-06-09T06:41:18Z</dcterms:modified>
</cp:coreProperties>
</file>